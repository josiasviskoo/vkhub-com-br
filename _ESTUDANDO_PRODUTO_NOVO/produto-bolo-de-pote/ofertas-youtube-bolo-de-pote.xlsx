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Ofertas" sheetId="2" state="visible" r:id="rId4"/>
    <sheet name="Vídeos +1 mi" sheetId="3" state="visible" r:id="rId5"/>
    <sheet name="Outras referências" sheetId="4" state="visible" r:id="rId6"/>
  </sheets>
  <definedNames>
    <definedName function="false" hidden="true" localSheetId="1" name="_xlnm._FilterDatabase" vbProcedure="false">Ofertas!$A$4:$O$12</definedName>
    <definedName function="false" hidden="true" localSheetId="2" name="_xlnm._FilterDatabase" vbProcedure="false">'Vídeos +1 mi'!$A$4:$H$15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<sst xmlns="http://schemas.openxmlformats.org/spreadsheetml/2006/main" count="260" uniqueCount="195">
  <si>
    <t xml:space="preserve">Resumo das ofertas de bolo de pote</t>
  </si>
  <si>
    <t xml:space="preserve">Calculado a partir das abas Ofertas e Outras referências. Atualiza sozinho se você editar os preços.</t>
  </si>
  <si>
    <t xml:space="preserve">Vídeos de bolo de pote acima de 1 mi</t>
  </si>
  <si>
    <t xml:space="preserve">Desses, vídeos que divulgam alguma oferta</t>
  </si>
  <si>
    <t xml:space="preserve">Ofertas encontradas nesses vídeos</t>
  </si>
  <si>
    <t xml:space="preserve">Ofertas diretamente sobre bolo de pote</t>
  </si>
  <si>
    <t xml:space="preserve">Ofertas que incluem bolo de pote (parcial)</t>
  </si>
  <si>
    <t xml:space="preserve">Ofertas ativas</t>
  </si>
  <si>
    <t xml:space="preserve">Ofertas com preço visível</t>
  </si>
  <si>
    <t xml:space="preserve">Menor preço (ofertas dos vídeos)</t>
  </si>
  <si>
    <t xml:space="preserve">Maior preço (ofertas dos vídeos)</t>
  </si>
  <si>
    <t xml:space="preserve">Preço médio (ofertas dos vídeos)</t>
  </si>
  <si>
    <t xml:space="preserve">Menor preço entre todas as ofertas</t>
  </si>
  <si>
    <t xml:space="preserve">Preço médio entre todas as ofertas com preço</t>
  </si>
  <si>
    <t xml:space="preserve">Leitura</t>
  </si>
  <si>
    <t xml:space="preserve">• Só 2 ofertas são diretamente sobre bolo de pote, e uma delas está fora do ar. Os vídeos mais vistos divulgam pouco produto próprio de bolo de pote.</t>
  </si>
  <si>
    <t xml:space="preserve">• A oferta direta ativa (Delícias da Thata, 6,7 mi + 1,8 mi de visualizações) é um ebook de receitas a R$ 19,90.</t>
  </si>
  <si>
    <t xml:space="preserve">• Nenhuma oferta de bolo de pote encontrada ensina custo, rendimento e preço. O único produto com planilha de precificação é de geladinho (R$ 67).</t>
  </si>
  <si>
    <t xml:space="preserve">• Referências de preço para ebook de receitas: R$ 10 a R$ 50.</t>
  </si>
  <si>
    <t xml:space="preserve">Ofertas divulgadas em vídeos de bolo de pote com mais de 1 milhão de visualizações</t>
  </si>
  <si>
    <t xml:space="preserve">Fonte: descrições dos vídeos do YouTube e páginas de venda, consultadas em 24/09/2026. Preço vazio = não exibido na página. Relação: Direta = produto sobre bolo de pote; Parcial = inclui bolo de pote; Outro tema = outro produto divulgado no vídeo.</t>
  </si>
  <si>
    <t xml:space="preserve">#</t>
  </si>
  <si>
    <t xml:space="preserve">Oferta</t>
  </si>
  <si>
    <t xml:space="preserve">Produtor</t>
  </si>
  <si>
    <t xml:space="preserve">Plataforma</t>
  </si>
  <si>
    <t xml:space="preserve">Formato</t>
  </si>
  <si>
    <t xml:space="preserve">Preço à vista (R$)</t>
  </si>
  <si>
    <t xml:space="preserve">Parcelamento</t>
  </si>
  <si>
    <t xml:space="preserve">O que inclui</t>
  </si>
  <si>
    <t xml:space="preserve">Relação com bolo de pote</t>
  </si>
  <si>
    <t xml:space="preserve">Canal do vídeo</t>
  </si>
  <si>
    <t xml:space="preserve">Vídeo(s) de origem</t>
  </si>
  <si>
    <t xml:space="preserve">Visualizações dos vídeos</t>
  </si>
  <si>
    <t xml:space="preserve">Link da oferta</t>
  </si>
  <si>
    <t xml:space="preserve">Status em 24/09/2026</t>
  </si>
  <si>
    <t xml:space="preserve">Observações</t>
  </si>
  <si>
    <t xml:space="preserve">Recheios e Massas de Bolos Lucrativas</t>
  </si>
  <si>
    <t xml:space="preserve">Thalita Alves (Delícias da Thata)</t>
  </si>
  <si>
    <t xml:space="preserve">Kiwify</t>
  </si>
  <si>
    <t xml:space="preserve">Ebook PDF</t>
  </si>
  <si>
    <t xml:space="preserve">até 4x de R$ 5,42</t>
  </si>
  <si>
    <t xml:space="preserve">15 receitas: 9 recheios, 6 massas, dicas de armazenamento, massas e recheios perfeitos</t>
  </si>
  <si>
    <t xml:space="preserve">Direta</t>
  </si>
  <si>
    <t xml:space="preserve">Delícias da Thata</t>
  </si>
  <si>
    <t xml:space="preserve">QSmB7mLgyY8 e IvqxNj7_YIk</t>
  </si>
  <si>
    <t xml:space="preserve">https://pay.kiwify.com.br/hG6IoPC</t>
  </si>
  <si>
    <t xml:space="preserve">Ativa</t>
  </si>
  <si>
    <t xml:space="preserve">Divulgada em 2 vídeos acima de 1 mi. Checkout informa troca de lote. Preço conferido no checkout.</t>
  </si>
  <si>
    <t xml:space="preserve">Curso Bolos no Pote Lucrativo</t>
  </si>
  <si>
    <t xml:space="preserve">Gabriel Freitas</t>
  </si>
  <si>
    <t xml:space="preserve">Hotmart</t>
  </si>
  <si>
    <t xml:space="preserve">Curso</t>
  </si>
  <si>
    <t xml:space="preserve">Não foi possível ver: link fora do ar</t>
  </si>
  <si>
    <t xml:space="preserve">tWohYiEro7g</t>
  </si>
  <si>
    <t xml:space="preserve">http://bit.ly/bolodePote</t>
  </si>
  <si>
    <t xml:space="preserve">Inativa (404)</t>
  </si>
  <si>
    <t xml:space="preserve">O link curto leva a go.hotmart.com/I7786088P, que retorna erro 404.</t>
  </si>
  <si>
    <t xml:space="preserve">Doces Gourmet Faça e Venda</t>
  </si>
  <si>
    <t xml:space="preserve">Centro EAD</t>
  </si>
  <si>
    <t xml:space="preserve">Eduzz</t>
  </si>
  <si>
    <t xml:space="preserve">Ebook digital</t>
  </si>
  <si>
    <t xml:space="preserve">30 receitas de bolos no pote, 30 caseirinhos gourmet e mais de 35 brigadeiros gourmet</t>
  </si>
  <si>
    <t xml:space="preserve">Parcial</t>
  </si>
  <si>
    <t xml:space="preserve">Doce, Sal e Etc – Lori Fonseca</t>
  </si>
  <si>
    <t xml:space="preserve">70UXK4nnhik</t>
  </si>
  <si>
    <t xml:space="preserve">https://p.eduzz.com/631178</t>
  </si>
  <si>
    <t xml:space="preserve">Link de afiliado na descrição do vídeo.</t>
  </si>
  <si>
    <t xml:space="preserve">Kit Festas Faça e Venda</t>
  </si>
  <si>
    <t xml:space="preserve">Thais Negrelli</t>
  </si>
  <si>
    <t xml:space="preserve">Bolos, brigadeiros, tortas doces e salgadas, salgadinhos fritos</t>
  </si>
  <si>
    <t xml:space="preserve">Outro tema</t>
  </si>
  <si>
    <t xml:space="preserve">https://p.eduzz.com/884043</t>
  </si>
  <si>
    <t xml:space="preserve">Link de afiliado no mesmo vídeo de bolo no pote.</t>
  </si>
  <si>
    <t xml:space="preserve">Curso de Geladinho Gourmet</t>
  </si>
  <si>
    <t xml:space="preserve">Danusa Nascimento</t>
  </si>
  <si>
    <t xml:space="preserve">Hotmart (página própria)</t>
  </si>
  <si>
    <t xml:space="preserve">Apostila digital</t>
  </si>
  <si>
    <t xml:space="preserve">5x de R$ 14,58 (de R$ 97)</t>
  </si>
  <si>
    <t xml:space="preserve">Mais de 95 receitas com rendimento, custo, margem e preço sugerido. Bônus: receitas detox, alcoólicas e fit, planilha de precificação com videoaula, grupo no Facebook. Garantia de 7 dias</t>
  </si>
  <si>
    <t xml:space="preserve">https://geladinhodesucesso.com.br/</t>
  </si>
  <si>
    <t xml:space="preserve">Link de afiliado. Única oferta encontrada com planilha de precificação.</t>
  </si>
  <si>
    <t xml:space="preserve">Bolos Caseiros que Vendem</t>
  </si>
  <si>
    <t xml:space="preserve">Anelyse Martins</t>
  </si>
  <si>
    <t xml:space="preserve">Ebook</t>
  </si>
  <si>
    <t xml:space="preserve">8 receitas de bolos caseiros. Nota 5,0 (4 avaliações)</t>
  </si>
  <si>
    <t xml:space="preserve">pGsPu5JEAbQ</t>
  </si>
  <si>
    <t xml:space="preserve">https://hotmart.com/pt-br/marketplace/produtos/bolos-caseiros-que-vendem-nhz4v/E84443814J</t>
  </si>
  <si>
    <t xml:space="preserve">Preço não exibido. Cupom YOUTUBE20 (20% de desconto) na descrição.</t>
  </si>
  <si>
    <t xml:space="preserve">Bolos Amanteigados que Encantam</t>
  </si>
  <si>
    <t xml:space="preserve">5 massas amanteigadas: baunilha, black, chocolate, ninho e red velvet. Nota 4,6 (12 avaliações)</t>
  </si>
  <si>
    <t xml:space="preserve">https://hotmart.com/pt-br/marketplace/produtos/bolos-amanteigados-que-encantam/D82830104M</t>
  </si>
  <si>
    <t xml:space="preserve">Preço não exibido. Cupom YOUTUBE20 na descrição.</t>
  </si>
  <si>
    <t xml:space="preserve">Sobremesas Lucrativas para o Fim de Ano</t>
  </si>
  <si>
    <t xml:space="preserve">Bruna Stelmasçuk (Bruna e você na confeitaria)</t>
  </si>
  <si>
    <t xml:space="preserve">Curso digital</t>
  </si>
  <si>
    <t xml:space="preserve">Receitas e técnicas de sobremesas para vender no fim de ano. Garantia de 7 dias</t>
  </si>
  <si>
    <t xml:space="preserve">Bruna e você na confeitaria</t>
  </si>
  <si>
    <t xml:space="preserve">zDKcDKWnZDc</t>
  </si>
  <si>
    <t xml:space="preserve">https://brunastelmascuk331.hotmart.host/sobremesas-lucrativas-para-o-fim-de-ano-com-bruna-e-voce-na-confeitaria-50670435-93b9-4ca2-986e-4b8e1801b42d</t>
  </si>
  <si>
    <t xml:space="preserve">O vídeo é de mini bolos em pote de margarina, não de bolo de pote.</t>
  </si>
  <si>
    <t xml:space="preserve">Vídeos de bolo de pote com mais de 1 milhão de visualizações</t>
  </si>
  <si>
    <t xml:space="preserve">Fonte: 25 buscas no YouTube em 24/09/2026 (pt-BR, Brasil). 179 vídeos encontrados; 16 acima de 1 mi; 11 com “pote” no título, listados aqui. Visualizações acumuladas desde a publicação.</t>
  </si>
  <si>
    <t xml:space="preserve">Visualizações</t>
  </si>
  <si>
    <t xml:space="preserve">Título</t>
  </si>
  <si>
    <t xml:space="preserve">Canal</t>
  </si>
  <si>
    <t xml:space="preserve">Publicado em</t>
  </si>
  <si>
    <t xml:space="preserve">Tipo de conteúdo</t>
  </si>
  <si>
    <t xml:space="preserve">Divulga oferta?</t>
  </si>
  <si>
    <t xml:space="preserve">Oferta na descrição</t>
  </si>
  <si>
    <t xml:space="preserve">Link do vídeo</t>
  </si>
  <si>
    <t xml:space="preserve">3 SABORES DE BOLO NO POTE COM APENAS UMA BASE DE RECHEIO | 3 SABORES QUE VENDE MUITO | FAÇA E VENDA</t>
  </si>
  <si>
    <t xml:space="preserve">2020-02-19</t>
  </si>
  <si>
    <t xml:space="preserve">Bolo de pote</t>
  </si>
  <si>
    <t xml:space="preserve">Sim</t>
  </si>
  <si>
    <t xml:space="preserve">Recheios e Massas de Bolos Lucrativas (Kiwify, R$ 19,90)</t>
  </si>
  <si>
    <t xml:space="preserve">https://www.youtube.com/watch?v=QSmB7mLgyY8</t>
  </si>
  <si>
    <t xml:space="preserve">5 RECEITAS DE BOLOS NO POTE | FAÇA E VENDA | Gabriel Freitas |</t>
  </si>
  <si>
    <t xml:space="preserve">2018-05-02</t>
  </si>
  <si>
    <t xml:space="preserve">Curso Bolos no Pote Lucrativo (link fora do ar)</t>
  </si>
  <si>
    <t xml:space="preserve">https://www.youtube.com/watch?v=tWohYiEro7g</t>
  </si>
  <si>
    <t xml:space="preserve">BOLO DE POTE PARA VENDER SUPER FÁCIL DE FAZER</t>
  </si>
  <si>
    <t xml:space="preserve">Bete com carinho</t>
  </si>
  <si>
    <t xml:space="preserve">2019-01-23</t>
  </si>
  <si>
    <t xml:space="preserve">Não</t>
  </si>
  <si>
    <t xml:space="preserve">Não (só loja de temperos da autora)</t>
  </si>
  <si>
    <t xml:space="preserve">https://www.youtube.com/watch?v=kww6OQfePq8</t>
  </si>
  <si>
    <t xml:space="preserve">BOLO NO POTE DA CRIS PARTE 2 - 6 Recheios para Bolos | RECEITAS DA CRIS</t>
  </si>
  <si>
    <t xml:space="preserve">Receitas Da Cris</t>
  </si>
  <si>
    <t xml:space="preserve">2017-09-29</t>
  </si>
  <si>
    <t xml:space="preserve">Recheios da série bolo no pote</t>
  </si>
  <si>
    <t xml:space="preserve">Não (só redes sociais)</t>
  </si>
  <si>
    <t xml:space="preserve">https://www.youtube.com/watch?v=tHJL44ISLtI</t>
  </si>
  <si>
    <t xml:space="preserve">CREME DE NINHO COM MORANGOS - RECHEIO PARA BOLOS, TORTAS, BOLO NO POTE E OUTROS</t>
  </si>
  <si>
    <t xml:space="preserve">Canal Marcos Lima</t>
  </si>
  <si>
    <t xml:space="preserve">2019-01-26</t>
  </si>
  <si>
    <t xml:space="preserve">Recheio (cita bolo no pote)</t>
  </si>
  <si>
    <t xml:space="preserve">https://www.youtube.com/watch?v=VyA7s3UgNl4</t>
  </si>
  <si>
    <t xml:space="preserve">2 Sabores de Massas de Bolo Fofinha feita no Liquidificador para Bolos de Aniversário e Bolo de Pote</t>
  </si>
  <si>
    <t xml:space="preserve">2021-08-10</t>
  </si>
  <si>
    <t xml:space="preserve">Massa (cita bolo de pote)</t>
  </si>
  <si>
    <t xml:space="preserve">https://www.youtube.com/watch?v=IvqxNj7_YIk</t>
  </si>
  <si>
    <t xml:space="preserve">BOLO DE POTE PERFEITO: 1 BASE, 7 SABORES! | O segredo das grandes confeitarias!</t>
  </si>
  <si>
    <t xml:space="preserve">2022-08-19</t>
  </si>
  <si>
    <t xml:space="preserve">Não (só cupom de loja parceira de confeitaria)</t>
  </si>
  <si>
    <t xml:space="preserve">https://www.youtube.com/watch?v=dx_V_f06ei4</t>
  </si>
  <si>
    <t xml:space="preserve">GANHO ATÉ 3 MIL POR MÊS COM ESSE BOLO NO POTE SABOR CHOCONINHO</t>
  </si>
  <si>
    <t xml:space="preserve">Doce, Sal e Etc - LORI FONSECA</t>
  </si>
  <si>
    <t xml:space="preserve">2020-12-06</t>
  </si>
  <si>
    <t xml:space="preserve">3 ebooks de afiliado (Eduzz e Hotmart) + maquininha de cartão</t>
  </si>
  <si>
    <t xml:space="preserve">https://www.youtube.com/watch?v=70UXK4nnhik</t>
  </si>
  <si>
    <t xml:space="preserve">RECHEIO MOUSSE DE NINHO PERFEITO! SUPER CREMOSO E ESTRUTURADO! Para doces, bolos e potes</t>
  </si>
  <si>
    <t xml:space="preserve">2025-01-28</t>
  </si>
  <si>
    <t xml:space="preserve">Recheio (cita potes)</t>
  </si>
  <si>
    <t xml:space="preserve">2 ebooks próprios na Hotmart + links de afiliado de utensílios</t>
  </si>
  <si>
    <t xml:space="preserve">https://www.youtube.com/watch?v=pGsPu5JEAbQ</t>
  </si>
  <si>
    <t xml:space="preserve">NO POTE DE MARGARINA SEM FORMA, JÁ SAI NAS MEDIDAS CERTAS - MINI BOLOS COM RECHEIOS DE SUCESSO</t>
  </si>
  <si>
    <t xml:space="preserve">2024-04-09</t>
  </si>
  <si>
    <t xml:space="preserve">Mini bolo em pote de margarina</t>
  </si>
  <si>
    <t xml:space="preserve">Curso Sobremesas Lucrativas (Hotmart, R$ 129,90)</t>
  </si>
  <si>
    <t xml:space="preserve">https://www.youtube.com/watch?v=zDKcDKWnZDc</t>
  </si>
  <si>
    <t xml:space="preserve">BOLO NO POTE DE PRESTÍGIO PARA VENDAS - PASSO A PASSO - Culinária em Casa</t>
  </si>
  <si>
    <t xml:space="preserve">Culinária em Casa</t>
  </si>
  <si>
    <t xml:space="preserve">2017-11-28</t>
  </si>
  <si>
    <t xml:space="preserve">Não (só redes sociais e blog)</t>
  </si>
  <si>
    <t xml:space="preserve">https://www.youtube.com/watch?v=ikjZw3jjJhw</t>
  </si>
  <si>
    <t xml:space="preserve">Fora da lista (acima de 1 mi, mas sem bolo de pote no título):</t>
  </si>
  <si>
    <t xml:space="preserve">Bolo de limão fofinho de liquidificador – Letícia Sweet Cake (4,7 mi)</t>
  </si>
  <si>
    <t xml:space="preserve">Você não vai acreditar… – Garota Virtuosa by reh (1,4 mi)</t>
  </si>
  <si>
    <t xml:space="preserve">6 sabores de bolo mini vulcão com uma base – Anelyse Martins (1,4 mi)</t>
  </si>
  <si>
    <t xml:space="preserve">Bolo nuvem de leite ninho – Dicas e Receitas da Celly (1,2 mi)</t>
  </si>
  <si>
    <t xml:space="preserve">Recheio cremoso de maracujá – Nossa Cozinha com Fátima Barros (1,0 mi)</t>
  </si>
  <si>
    <t xml:space="preserve">Outras ofertas de bolo de pote (não vieram de vídeos acima de 1 mi)</t>
  </si>
  <si>
    <t xml:space="preserve">Referências coletadas em outras etapas da pesquisa, para comparação de preço e conteúdo.</t>
  </si>
  <si>
    <t xml:space="preserve">Origem</t>
  </si>
  <si>
    <t xml:space="preserve">Link</t>
  </si>
  <si>
    <t xml:space="preserve">Bolo de Pote Perfeito – curso completo</t>
  </si>
  <si>
    <t xml:space="preserve">Leidy Cake</t>
  </si>
  <si>
    <t xml:space="preserve">Página própria</t>
  </si>
  <si>
    <t xml:space="preserve">Videoaulas + ebook</t>
  </si>
  <si>
    <t xml:space="preserve">6x de R$ 5,07</t>
  </si>
  <si>
    <t xml:space="preserve">Mais de 37 videoaulas, apostila, 4 massas, 15 recheios, montagens. Bônus: certificado, banoffee, bombom de morango. Garantia de 7 dias</t>
  </si>
  <si>
    <t xml:space="preserve">Página enviada pelo usuário</t>
  </si>
  <si>
    <t xml:space="preserve">https://leidycake.com.br/bolodepote</t>
  </si>
  <si>
    <t xml:space="preserve">Bolo de Pote Perfeito – só ebook</t>
  </si>
  <si>
    <t xml:space="preserve">2x de R$ 5,27</t>
  </si>
  <si>
    <t xml:space="preserve">Apostila em PDF</t>
  </si>
  <si>
    <t xml:space="preserve">Curso Bolos no Pote 3.0</t>
  </si>
  <si>
    <t xml:space="preserve">Marrara Bortoloti</t>
  </si>
  <si>
    <t xml:space="preserve">Massas, recheios, montagem, decoração e venda. Nota 4,8 (87 avaliações)</t>
  </si>
  <si>
    <t xml:space="preserve">Busca na Hotmart</t>
  </si>
  <si>
    <t xml:space="preserve">https://hotmart.com/pt-br/marketplace/produtos/curso-bolos-no-pote-com-marrara-bortoloti/M54680868M</t>
  </si>
  <si>
    <t xml:space="preserve">Curso Faça e Venda – Bolo de Pote</t>
  </si>
  <si>
    <t xml:space="preserve">Doce da Vida</t>
  </si>
  <si>
    <t xml:space="preserve">Mais de 15 sabores de potes e sobremesas. Nota 4,1 (15 avaliações)</t>
  </si>
  <si>
    <t xml:space="preserve">https://hotmart.com/pt-br/marketplace/produtos/curso-faca-e-venda-bolo-de-pote/Q42757297U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</si>
</sst>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&quot;R$ &quot;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B3426"/>
      <name val="Arial"/>
      <family val="0"/>
      <charset val="1"/>
    </font>
    <font>
      <i val="true"/>
      <sz val="9"/>
      <color rgb="FF6B6B6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B3426"/>
        <bgColor rgb="FF333300"/>
      </patternFill>
    </fill>
    <fill>
      <patternFill patternType="solid">
        <fgColor rgb="FFDDEFE3"/>
        <bgColor rgb="FFEEEEEE"/>
      </patternFill>
    </fill>
    <fill>
      <patternFill patternType="solid">
        <fgColor rgb="FFFBF0D9"/>
        <bgColor rgb="FFEEEEEE"/>
      </patternFill>
    </fill>
    <fill>
      <patternFill patternType="solid">
        <fgColor rgb="FFEEEEEE"/>
        <bgColor rgb="FFDDEF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D6D0"/>
      </left>
      <right style="thin">
        <color rgb="FFE0D6D0"/>
      </right>
      <top style="thin">
        <color rgb="FFE0D6D0"/>
      </top>
      <bottom style="thin">
        <color rgb="FFE0D6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5B34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FE3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BF0D9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0D9"/>
      <rgbColor rgb="FFEEEEEE"/>
      <rgbColor rgb="FF660066"/>
      <rgbColor rgb="FFFF8080"/>
      <rgbColor rgb="FF0563C1"/>
      <rgbColor rgb="FFE0D6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F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B34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QSmB7mLgyY8" TargetMode="External"/><Relationship Id="rId2" Type="http://schemas.openxmlformats.org/officeDocument/2006/relationships/hyperlink" Target="https://pay.kiwify.com.br/hG6IoPC" TargetMode="External"/><Relationship Id="rId3" Type="http://schemas.openxmlformats.org/officeDocument/2006/relationships/hyperlink" Target="https://www.youtube.com/watch?v=tWohYiEro7g" TargetMode="External"/><Relationship Id="rId4" Type="http://schemas.openxmlformats.org/officeDocument/2006/relationships/hyperlink" Target="http://bit.ly/bolodePote" TargetMode="External"/><Relationship Id="rId5" Type="http://schemas.openxmlformats.org/officeDocument/2006/relationships/hyperlink" Target="https://www.youtube.com/watch?v=70UXK4nnhik" TargetMode="External"/><Relationship Id="rId6" Type="http://schemas.openxmlformats.org/officeDocument/2006/relationships/hyperlink" Target="https://p.eduzz.com/631178" TargetMode="External"/><Relationship Id="rId7" Type="http://schemas.openxmlformats.org/officeDocument/2006/relationships/hyperlink" Target="https://www.youtube.com/watch?v=70UXK4nnhik" TargetMode="External"/><Relationship Id="rId8" Type="http://schemas.openxmlformats.org/officeDocument/2006/relationships/hyperlink" Target="https://p.eduzz.com/884043" TargetMode="External"/><Relationship Id="rId9" Type="http://schemas.openxmlformats.org/officeDocument/2006/relationships/hyperlink" Target="https://www.youtube.com/watch?v=70UXK4nnhik" TargetMode="External"/><Relationship Id="rId10" Type="http://schemas.openxmlformats.org/officeDocument/2006/relationships/hyperlink" Target="https://geladinhodesucesso.com.br/" TargetMode="External"/><Relationship Id="rId11" Type="http://schemas.openxmlformats.org/officeDocument/2006/relationships/hyperlink" Target="https://www.youtube.com/watch?v=pGsPu5JEAbQ" TargetMode="External"/><Relationship Id="rId12" Type="http://schemas.openxmlformats.org/officeDocument/2006/relationships/hyperlink" Target="https://hotmart.com/pt-br/marketplace/produtos/bolos-caseiros-que-vendem-nhz4v/E84443814J" TargetMode="External"/><Relationship Id="rId13" Type="http://schemas.openxmlformats.org/officeDocument/2006/relationships/hyperlink" Target="https://www.youtube.com/watch?v=pGsPu5JEAbQ" TargetMode="External"/><Relationship Id="rId14" Type="http://schemas.openxmlformats.org/officeDocument/2006/relationships/hyperlink" Target="https://hotmart.com/pt-br/marketplace/produtos/bolos-amanteigados-que-encantam/D82830104M" TargetMode="External"/><Relationship Id="rId15" Type="http://schemas.openxmlformats.org/officeDocument/2006/relationships/hyperlink" Target="https://www.youtube.com/watch?v=zDKcDKWnZDc" TargetMode="External"/><Relationship Id="rId16" Type="http://schemas.openxmlformats.org/officeDocument/2006/relationships/hyperlink" Target="https://brunastelmascuk331.hotmart.host/sobremesas-lucrativas-para-o-fim-de-ano-com-bruna-e-voce-na-confeitaria-50670435-93b9-4ca2-986e-4b8e1801b42d" TargetMode="External"/><Relationship Id="rId17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QSmB7mLgyY8" TargetMode="External"/><Relationship Id="rId2" Type="http://schemas.openxmlformats.org/officeDocument/2006/relationships/hyperlink" Target="https://www.youtube.com/watch?v=tWohYiEro7g" TargetMode="External"/><Relationship Id="rId3" Type="http://schemas.openxmlformats.org/officeDocument/2006/relationships/hyperlink" Target="https://www.youtube.com/watch?v=kww6OQfePq8" TargetMode="External"/><Relationship Id="rId4" Type="http://schemas.openxmlformats.org/officeDocument/2006/relationships/hyperlink" Target="https://www.youtube.com/watch?v=tHJL44ISLtI" TargetMode="External"/><Relationship Id="rId5" Type="http://schemas.openxmlformats.org/officeDocument/2006/relationships/hyperlink" Target="https://www.youtube.com/watch?v=VyA7s3UgNl4" TargetMode="External"/><Relationship Id="rId6" Type="http://schemas.openxmlformats.org/officeDocument/2006/relationships/hyperlink" Target="https://www.youtube.com/watch?v=IvqxNj7_YIk" TargetMode="External"/><Relationship Id="rId7" Type="http://schemas.openxmlformats.org/officeDocument/2006/relationships/hyperlink" Target="https://www.youtube.com/watch?v=dx_V_f06ei4" TargetMode="External"/><Relationship Id="rId8" Type="http://schemas.openxmlformats.org/officeDocument/2006/relationships/hyperlink" Target="https://www.youtube.com/watch?v=70UXK4nnhik" TargetMode="External"/><Relationship Id="rId9" Type="http://schemas.openxmlformats.org/officeDocument/2006/relationships/hyperlink" Target="https://www.youtube.com/watch?v=pGsPu5JEAbQ" TargetMode="External"/><Relationship Id="rId10" Type="http://schemas.openxmlformats.org/officeDocument/2006/relationships/hyperlink" Target="https://www.youtube.com/watch?v=zDKcDKWnZDc" TargetMode="External"/><Relationship Id="rId11" Type="http://schemas.openxmlformats.org/officeDocument/2006/relationships/hyperlink" Target="https://www.youtube.com/watch?v=ikjZw3jjJhw" TargetMode="External"/><Relationship Id="rId12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leidycake.com.br/bolodepote" TargetMode="External"/><Relationship Id="rId2" Type="http://schemas.openxmlformats.org/officeDocument/2006/relationships/hyperlink" Target="https://leidycake.com.br/bolodepote" TargetMode="External"/><Relationship Id="rId3" Type="http://schemas.openxmlformats.org/officeDocument/2006/relationships/hyperlink" Target="https://hotmart.com/pt-br/marketplace/produtos/curso-bolos-no-pote-com-marrara-bortoloti/M54680868M" TargetMode="External"/><Relationship Id="rId4" Type="http://schemas.openxmlformats.org/officeDocument/2006/relationships/hyperlink" Target="https://hotmart.com/pt-br/marketplace/produtos/curso-faca-e-venda-bolo-de-pote/Q42757297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6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COUNTA('Vídeos +1 mi'!$B$5:$B$15)</f>
        <v>11</v>
      </c>
    </row>
    <row r="5" customFormat="false" ht="15" hidden="false" customHeight="false" outlineLevel="0" collapsed="false">
      <c r="A5" s="3" t="s">
        <v>3</v>
      </c>
      <c r="B5" s="4" t="n">
        <f aca="false">COUNTIF('Vídeos +1 mi'!$F$5:$F$15,"Sim")</f>
        <v>6</v>
      </c>
    </row>
    <row r="6" customFormat="false" ht="15" hidden="false" customHeight="false" outlineLevel="0" collapsed="false">
      <c r="A6" s="3" t="s">
        <v>4</v>
      </c>
      <c r="B6" s="4" t="n">
        <f aca="false">COUNTA(Ofertas!$B$5:$B$12)</f>
        <v>8</v>
      </c>
    </row>
    <row r="7" customFormat="false" ht="15" hidden="false" customHeight="false" outlineLevel="0" collapsed="false">
      <c r="A7" s="3" t="s">
        <v>5</v>
      </c>
      <c r="B7" s="4" t="n">
        <f aca="false">COUNTIF(Ofertas!$I$5:$I$12,"Direta")</f>
        <v>2</v>
      </c>
    </row>
    <row r="8" customFormat="false" ht="15" hidden="false" customHeight="false" outlineLevel="0" collapsed="false">
      <c r="A8" s="3" t="s">
        <v>6</v>
      </c>
      <c r="B8" s="4" t="n">
        <f aca="false">COUNTIF(Ofertas!$I$5:$I$12,"Parcial")</f>
        <v>1</v>
      </c>
    </row>
    <row r="9" customFormat="false" ht="15" hidden="false" customHeight="false" outlineLevel="0" collapsed="false">
      <c r="A9" s="3" t="s">
        <v>7</v>
      </c>
      <c r="B9" s="4" t="n">
        <f aca="false">COUNTIF(Ofertas!$N$5:$N$12,"Ativa")</f>
        <v>7</v>
      </c>
    </row>
    <row r="10" customFormat="false" ht="15" hidden="false" customHeight="false" outlineLevel="0" collapsed="false">
      <c r="A10" s="3" t="s">
        <v>8</v>
      </c>
      <c r="B10" s="4" t="n">
        <f aca="false">COUNT(Ofertas!$F$5:$F$12)</f>
        <v>5</v>
      </c>
    </row>
    <row r="11" customFormat="false" ht="15" hidden="false" customHeight="false" outlineLevel="0" collapsed="false">
      <c r="A11" s="3" t="s">
        <v>9</v>
      </c>
      <c r="B11" s="5" t="n">
        <f aca="false">MIN(Ofertas!$F$5:$F$12)</f>
        <v>19.9</v>
      </c>
    </row>
    <row r="12" customFormat="false" ht="15" hidden="false" customHeight="false" outlineLevel="0" collapsed="false">
      <c r="A12" s="3" t="s">
        <v>10</v>
      </c>
      <c r="B12" s="5" t="n">
        <f aca="false">MAX(Ofertas!$F$5:$F$12)</f>
        <v>129.9</v>
      </c>
    </row>
    <row r="13" customFormat="false" ht="15" hidden="false" customHeight="false" outlineLevel="0" collapsed="false">
      <c r="A13" s="3" t="s">
        <v>11</v>
      </c>
      <c r="B13" s="5" t="n">
        <f aca="false">AVERAGE(Ofertas!$F$5:$F$12)</f>
        <v>62.76</v>
      </c>
    </row>
    <row r="14" customFormat="false" ht="15" hidden="false" customHeight="false" outlineLevel="0" collapsed="false">
      <c r="A14" s="3" t="s">
        <v>12</v>
      </c>
      <c r="B14" s="5" t="n">
        <f aca="false">MIN(Ofertas!$F$5:$F$12,'Outras referências'!$E$5:$E$8)</f>
        <v>10</v>
      </c>
    </row>
    <row r="15" customFormat="false" ht="15" hidden="false" customHeight="false" outlineLevel="0" collapsed="false">
      <c r="A15" s="3" t="s">
        <v>13</v>
      </c>
      <c r="B15" s="5" t="n">
        <f aca="false">AVERAGE(Ofertas!$F$5:$F$12,'Outras referências'!$E$5:$E$8)</f>
        <v>50.1142857142857</v>
      </c>
    </row>
    <row r="17" customFormat="false" ht="15" hidden="false" customHeight="false" outlineLevel="0" collapsed="false">
      <c r="A17" s="6" t="s">
        <v>14</v>
      </c>
    </row>
    <row r="18" customFormat="false" ht="27.75" hidden="false" customHeight="true" outlineLevel="0" collapsed="false">
      <c r="A18" s="7" t="s">
        <v>15</v>
      </c>
      <c r="B18" s="7"/>
      <c r="C18" s="7"/>
      <c r="D18" s="7"/>
      <c r="E18" s="7"/>
      <c r="F18" s="7"/>
    </row>
    <row r="19" customFormat="false" ht="27.75" hidden="false" customHeight="true" outlineLevel="0" collapsed="false">
      <c r="A19" s="7" t="s">
        <v>16</v>
      </c>
      <c r="B19" s="7"/>
      <c r="C19" s="7"/>
      <c r="D19" s="7"/>
      <c r="E19" s="7"/>
      <c r="F19" s="7"/>
    </row>
    <row r="20" customFormat="false" ht="27.75" hidden="false" customHeight="true" outlineLevel="0" collapsed="false">
      <c r="A20" s="7" t="s">
        <v>17</v>
      </c>
      <c r="B20" s="7"/>
      <c r="C20" s="7"/>
      <c r="D20" s="7"/>
      <c r="E20" s="7"/>
      <c r="F20" s="7"/>
    </row>
    <row r="21" customFormat="false" ht="27.75" hidden="false" customHeight="true" outlineLevel="0" collapsed="false">
      <c r="A21" s="7" t="s">
        <v>18</v>
      </c>
      <c r="B21" s="7"/>
      <c r="C21" s="7"/>
      <c r="D21" s="7"/>
      <c r="E21" s="7"/>
      <c r="F21" s="7"/>
    </row>
  </sheetData>
  <mergeCells count="4"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48"/>
    <col collapsed="false" customWidth="true" hidden="false" outlineLevel="0" max="9" min="9" style="0" width="14"/>
    <col collapsed="false" customWidth="true" hidden="false" outlineLevel="0" max="11" min="10" style="0" width="22"/>
    <col collapsed="false" customWidth="true" hidden="false" outlineLevel="0" max="12" min="12" style="0" width="14"/>
    <col collapsed="false" customWidth="true" hidden="false" outlineLevel="0" max="13" min="13" style="0" width="34"/>
    <col collapsed="false" customWidth="true" hidden="false" outlineLevel="0" max="14" min="14" style="0" width="14"/>
    <col collapsed="false" customWidth="true" hidden="false" outlineLevel="0" max="15" min="15" style="0" width="40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4" customFormat="false" ht="30" hidden="false" customHeight="true" outlineLevel="0" collapsed="false">
      <c r="A4" s="8" t="s">
        <v>21</v>
      </c>
      <c r="B4" s="8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  <c r="K4" s="8" t="s">
        <v>31</v>
      </c>
      <c r="L4" s="8" t="s">
        <v>32</v>
      </c>
      <c r="M4" s="8" t="s">
        <v>33</v>
      </c>
      <c r="N4" s="8" t="s">
        <v>34</v>
      </c>
      <c r="O4" s="8" t="s">
        <v>35</v>
      </c>
    </row>
    <row r="5" customFormat="false" ht="35.05" hidden="false" customHeight="false" outlineLevel="0" collapsed="false">
      <c r="A5" s="9" t="n">
        <v>1</v>
      </c>
      <c r="B5" s="9" t="s">
        <v>36</v>
      </c>
      <c r="C5" s="9" t="s">
        <v>37</v>
      </c>
      <c r="D5" s="9" t="s">
        <v>38</v>
      </c>
      <c r="E5" s="9" t="s">
        <v>39</v>
      </c>
      <c r="F5" s="10" t="n">
        <v>19.9</v>
      </c>
      <c r="G5" s="9" t="s">
        <v>40</v>
      </c>
      <c r="H5" s="9" t="s">
        <v>41</v>
      </c>
      <c r="I5" s="11" t="s">
        <v>42</v>
      </c>
      <c r="J5" s="9" t="s">
        <v>43</v>
      </c>
      <c r="K5" s="12" t="s">
        <v>44</v>
      </c>
      <c r="L5" s="13" t="n">
        <v>8509065</v>
      </c>
      <c r="M5" s="12" t="s">
        <v>45</v>
      </c>
      <c r="N5" s="9" t="s">
        <v>46</v>
      </c>
      <c r="O5" s="9" t="s">
        <v>47</v>
      </c>
    </row>
    <row r="6" customFormat="false" ht="23.85" hidden="false" customHeight="false" outlineLevel="0" collapsed="false">
      <c r="A6" s="9" t="n">
        <v>2</v>
      </c>
      <c r="B6" s="9" t="s">
        <v>48</v>
      </c>
      <c r="C6" s="9" t="s">
        <v>49</v>
      </c>
      <c r="D6" s="9" t="s">
        <v>50</v>
      </c>
      <c r="E6" s="9" t="s">
        <v>51</v>
      </c>
      <c r="F6" s="10"/>
      <c r="G6" s="9"/>
      <c r="H6" s="9" t="s">
        <v>52</v>
      </c>
      <c r="I6" s="11" t="s">
        <v>42</v>
      </c>
      <c r="J6" s="9" t="s">
        <v>49</v>
      </c>
      <c r="K6" s="12" t="s">
        <v>53</v>
      </c>
      <c r="L6" s="13" t="n">
        <v>6237462</v>
      </c>
      <c r="M6" s="12" t="s">
        <v>54</v>
      </c>
      <c r="N6" s="9" t="s">
        <v>55</v>
      </c>
      <c r="O6" s="9" t="s">
        <v>56</v>
      </c>
    </row>
    <row r="7" customFormat="false" ht="23.85" hidden="false" customHeight="false" outlineLevel="0" collapsed="false">
      <c r="A7" s="9" t="n">
        <v>3</v>
      </c>
      <c r="B7" s="9" t="s">
        <v>57</v>
      </c>
      <c r="C7" s="9" t="s">
        <v>58</v>
      </c>
      <c r="D7" s="9" t="s">
        <v>59</v>
      </c>
      <c r="E7" s="9" t="s">
        <v>60</v>
      </c>
      <c r="F7" s="10" t="n">
        <v>47</v>
      </c>
      <c r="G7" s="9"/>
      <c r="H7" s="9" t="s">
        <v>61</v>
      </c>
      <c r="I7" s="14" t="s">
        <v>62</v>
      </c>
      <c r="J7" s="9" t="s">
        <v>63</v>
      </c>
      <c r="K7" s="12" t="s">
        <v>64</v>
      </c>
      <c r="L7" s="13" t="n">
        <v>1496536</v>
      </c>
      <c r="M7" s="12" t="s">
        <v>65</v>
      </c>
      <c r="N7" s="9" t="s">
        <v>46</v>
      </c>
      <c r="O7" s="9" t="s">
        <v>66</v>
      </c>
    </row>
    <row r="8" customFormat="false" ht="23.85" hidden="false" customHeight="false" outlineLevel="0" collapsed="false">
      <c r="A8" s="9" t="n">
        <v>4</v>
      </c>
      <c r="B8" s="9" t="s">
        <v>67</v>
      </c>
      <c r="C8" s="9" t="s">
        <v>68</v>
      </c>
      <c r="D8" s="9" t="s">
        <v>59</v>
      </c>
      <c r="E8" s="9" t="s">
        <v>60</v>
      </c>
      <c r="F8" s="10" t="n">
        <v>50</v>
      </c>
      <c r="G8" s="9"/>
      <c r="H8" s="9" t="s">
        <v>69</v>
      </c>
      <c r="I8" s="15" t="s">
        <v>70</v>
      </c>
      <c r="J8" s="9" t="s">
        <v>63</v>
      </c>
      <c r="K8" s="12" t="s">
        <v>64</v>
      </c>
      <c r="L8" s="13" t="n">
        <v>1496536</v>
      </c>
      <c r="M8" s="12" t="s">
        <v>71</v>
      </c>
      <c r="N8" s="9" t="s">
        <v>46</v>
      </c>
      <c r="O8" s="9" t="s">
        <v>72</v>
      </c>
    </row>
    <row r="9" customFormat="false" ht="46.25" hidden="false" customHeight="false" outlineLevel="0" collapsed="false">
      <c r="A9" s="9" t="n">
        <v>5</v>
      </c>
      <c r="B9" s="9" t="s">
        <v>73</v>
      </c>
      <c r="C9" s="9" t="s">
        <v>74</v>
      </c>
      <c r="D9" s="9" t="s">
        <v>75</v>
      </c>
      <c r="E9" s="9" t="s">
        <v>76</v>
      </c>
      <c r="F9" s="10" t="n">
        <v>67</v>
      </c>
      <c r="G9" s="9" t="s">
        <v>77</v>
      </c>
      <c r="H9" s="9" t="s">
        <v>78</v>
      </c>
      <c r="I9" s="15" t="s">
        <v>70</v>
      </c>
      <c r="J9" s="9" t="s">
        <v>63</v>
      </c>
      <c r="K9" s="12" t="s">
        <v>64</v>
      </c>
      <c r="L9" s="13" t="n">
        <v>1496536</v>
      </c>
      <c r="M9" s="12" t="s">
        <v>79</v>
      </c>
      <c r="N9" s="9" t="s">
        <v>46</v>
      </c>
      <c r="O9" s="9" t="s">
        <v>80</v>
      </c>
    </row>
    <row r="10" customFormat="false" ht="23.85" hidden="false" customHeight="false" outlineLevel="0" collapsed="false">
      <c r="A10" s="9" t="n">
        <v>6</v>
      </c>
      <c r="B10" s="9" t="s">
        <v>81</v>
      </c>
      <c r="C10" s="9" t="s">
        <v>82</v>
      </c>
      <c r="D10" s="9" t="s">
        <v>50</v>
      </c>
      <c r="E10" s="9" t="s">
        <v>83</v>
      </c>
      <c r="F10" s="10"/>
      <c r="G10" s="9"/>
      <c r="H10" s="9" t="s">
        <v>84</v>
      </c>
      <c r="I10" s="15" t="s">
        <v>70</v>
      </c>
      <c r="J10" s="9" t="s">
        <v>82</v>
      </c>
      <c r="K10" s="12" t="s">
        <v>85</v>
      </c>
      <c r="L10" s="13" t="n">
        <v>1375376</v>
      </c>
      <c r="M10" s="12" t="s">
        <v>86</v>
      </c>
      <c r="N10" s="9" t="s">
        <v>46</v>
      </c>
      <c r="O10" s="9" t="s">
        <v>87</v>
      </c>
    </row>
    <row r="11" customFormat="false" ht="23.85" hidden="false" customHeight="false" outlineLevel="0" collapsed="false">
      <c r="A11" s="9" t="n">
        <v>7</v>
      </c>
      <c r="B11" s="9" t="s">
        <v>88</v>
      </c>
      <c r="C11" s="9" t="s">
        <v>82</v>
      </c>
      <c r="D11" s="9" t="s">
        <v>50</v>
      </c>
      <c r="E11" s="9" t="s">
        <v>83</v>
      </c>
      <c r="F11" s="10"/>
      <c r="G11" s="9"/>
      <c r="H11" s="9" t="s">
        <v>89</v>
      </c>
      <c r="I11" s="15" t="s">
        <v>70</v>
      </c>
      <c r="J11" s="9" t="s">
        <v>82</v>
      </c>
      <c r="K11" s="12" t="s">
        <v>85</v>
      </c>
      <c r="L11" s="13" t="n">
        <v>1375376</v>
      </c>
      <c r="M11" s="12" t="s">
        <v>90</v>
      </c>
      <c r="N11" s="9" t="s">
        <v>46</v>
      </c>
      <c r="O11" s="9" t="s">
        <v>91</v>
      </c>
    </row>
    <row r="12" customFormat="false" ht="23.85" hidden="false" customHeight="false" outlineLevel="0" collapsed="false">
      <c r="A12" s="9" t="n">
        <v>8</v>
      </c>
      <c r="B12" s="9" t="s">
        <v>92</v>
      </c>
      <c r="C12" s="9" t="s">
        <v>93</v>
      </c>
      <c r="D12" s="9" t="s">
        <v>50</v>
      </c>
      <c r="E12" s="9" t="s">
        <v>94</v>
      </c>
      <c r="F12" s="10" t="n">
        <v>129.9</v>
      </c>
      <c r="G12" s="9"/>
      <c r="H12" s="9" t="s">
        <v>95</v>
      </c>
      <c r="I12" s="15" t="s">
        <v>70</v>
      </c>
      <c r="J12" s="9" t="s">
        <v>96</v>
      </c>
      <c r="K12" s="12" t="s">
        <v>97</v>
      </c>
      <c r="L12" s="13" t="n">
        <v>1089526</v>
      </c>
      <c r="M12" s="12" t="s">
        <v>98</v>
      </c>
      <c r="N12" s="9" t="s">
        <v>46</v>
      </c>
      <c r="O12" s="9" t="s">
        <v>99</v>
      </c>
    </row>
  </sheetData>
  <autoFilter ref="A4:O12"/>
  <hyperlinks>
    <hyperlink ref="K5" r:id="rId1" display="QSmB7mLgyY8 e IvqxNj7_YIk"/>
    <hyperlink ref="M5" r:id="rId2" display="https://pay.kiwify.com.br/hG6IoPC"/>
    <hyperlink ref="K6" r:id="rId3" display="tWohYiEro7g"/>
    <hyperlink ref="M6" r:id="rId4" display="http://bit.ly/bolodePote"/>
    <hyperlink ref="K7" r:id="rId5" display="70UXK4nnhik"/>
    <hyperlink ref="M7" r:id="rId6" display="https://p.eduzz.com/631178"/>
    <hyperlink ref="K8" r:id="rId7" display="70UXK4nnhik"/>
    <hyperlink ref="M8" r:id="rId8" display="https://p.eduzz.com/884043"/>
    <hyperlink ref="K9" r:id="rId9" display="70UXK4nnhik"/>
    <hyperlink ref="M9" r:id="rId10" display="https://geladinhodesucesso.com.br/"/>
    <hyperlink ref="K10" r:id="rId11" display="pGsPu5JEAbQ"/>
    <hyperlink ref="M10" r:id="rId12" display="https://hotmart.com/pt-br/marketplace/produtos/bolos-caseiros-que-vendem-nhz4v/E84443814J"/>
    <hyperlink ref="K11" r:id="rId13" display="pGsPu5JEAbQ"/>
    <hyperlink ref="M11" r:id="rId14" display="https://hotmart.com/pt-br/marketplace/produtos/bolos-amanteigados-que-encantam/D82830104M"/>
    <hyperlink ref="K12" r:id="rId15" display="zDKcDKWnZDc"/>
    <hyperlink ref="M12" r:id="rId16" display="https://brunastelmascuk331.hotmart.host/sobremesas-lucrativas-para-o-fim-de-ano-com-bruna-e-voce-na-confeitaria-50670435-93b9-4ca2-986e-4b8e1801b42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5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8" min="7" style="0" width="40"/>
  </cols>
  <sheetData>
    <row r="1" customFormat="false" ht="17.35" hidden="false" customHeight="false" outlineLevel="0" collapsed="false">
      <c r="A1" s="1" t="s">
        <v>100</v>
      </c>
    </row>
    <row r="2" customFormat="false" ht="15" hidden="false" customHeight="false" outlineLevel="0" collapsed="false">
      <c r="A2" s="2" t="s">
        <v>101</v>
      </c>
    </row>
    <row r="4" customFormat="false" ht="30" hidden="false" customHeight="true" outlineLevel="0" collapsed="false">
      <c r="A4" s="8" t="s">
        <v>102</v>
      </c>
      <c r="B4" s="8" t="s">
        <v>103</v>
      </c>
      <c r="C4" s="8" t="s">
        <v>104</v>
      </c>
      <c r="D4" s="8" t="s">
        <v>105</v>
      </c>
      <c r="E4" s="8" t="s">
        <v>106</v>
      </c>
      <c r="F4" s="8" t="s">
        <v>107</v>
      </c>
      <c r="G4" s="8" t="s">
        <v>108</v>
      </c>
      <c r="H4" s="8" t="s">
        <v>109</v>
      </c>
    </row>
    <row r="5" customFormat="false" ht="23.85" hidden="false" customHeight="false" outlineLevel="0" collapsed="false">
      <c r="A5" s="13" t="n">
        <v>6704989</v>
      </c>
      <c r="B5" s="9" t="s">
        <v>110</v>
      </c>
      <c r="C5" s="9" t="s">
        <v>43</v>
      </c>
      <c r="D5" s="9" t="s">
        <v>111</v>
      </c>
      <c r="E5" s="9" t="s">
        <v>112</v>
      </c>
      <c r="F5" s="9" t="s">
        <v>113</v>
      </c>
      <c r="G5" s="9" t="s">
        <v>114</v>
      </c>
      <c r="H5" s="12" t="s">
        <v>115</v>
      </c>
    </row>
    <row r="6" customFormat="false" ht="23.85" hidden="false" customHeight="false" outlineLevel="0" collapsed="false">
      <c r="A6" s="13" t="n">
        <v>6237462</v>
      </c>
      <c r="B6" s="9" t="s">
        <v>116</v>
      </c>
      <c r="C6" s="9" t="s">
        <v>49</v>
      </c>
      <c r="D6" s="9" t="s">
        <v>117</v>
      </c>
      <c r="E6" s="9" t="s">
        <v>112</v>
      </c>
      <c r="F6" s="9" t="s">
        <v>113</v>
      </c>
      <c r="G6" s="9" t="s">
        <v>118</v>
      </c>
      <c r="H6" s="12" t="s">
        <v>119</v>
      </c>
    </row>
    <row r="7" customFormat="false" ht="15" hidden="false" customHeight="false" outlineLevel="0" collapsed="false">
      <c r="A7" s="13" t="n">
        <v>3652275</v>
      </c>
      <c r="B7" s="9" t="s">
        <v>120</v>
      </c>
      <c r="C7" s="9" t="s">
        <v>121</v>
      </c>
      <c r="D7" s="9" t="s">
        <v>122</v>
      </c>
      <c r="E7" s="9" t="s">
        <v>112</v>
      </c>
      <c r="F7" s="9" t="s">
        <v>123</v>
      </c>
      <c r="G7" s="9" t="s">
        <v>124</v>
      </c>
      <c r="H7" s="12" t="s">
        <v>125</v>
      </c>
    </row>
    <row r="8" customFormat="false" ht="23.85" hidden="false" customHeight="false" outlineLevel="0" collapsed="false">
      <c r="A8" s="13" t="n">
        <v>2125660</v>
      </c>
      <c r="B8" s="9" t="s">
        <v>126</v>
      </c>
      <c r="C8" s="9" t="s">
        <v>127</v>
      </c>
      <c r="D8" s="9" t="s">
        <v>128</v>
      </c>
      <c r="E8" s="9" t="s">
        <v>129</v>
      </c>
      <c r="F8" s="9" t="s">
        <v>123</v>
      </c>
      <c r="G8" s="9" t="s">
        <v>130</v>
      </c>
      <c r="H8" s="12" t="s">
        <v>131</v>
      </c>
    </row>
    <row r="9" customFormat="false" ht="23.85" hidden="false" customHeight="false" outlineLevel="0" collapsed="false">
      <c r="A9" s="13" t="n">
        <v>1840175</v>
      </c>
      <c r="B9" s="9" t="s">
        <v>132</v>
      </c>
      <c r="C9" s="9" t="s">
        <v>133</v>
      </c>
      <c r="D9" s="9" t="s">
        <v>134</v>
      </c>
      <c r="E9" s="9" t="s">
        <v>135</v>
      </c>
      <c r="F9" s="9" t="s">
        <v>123</v>
      </c>
      <c r="G9" s="9" t="s">
        <v>123</v>
      </c>
      <c r="H9" s="12" t="s">
        <v>136</v>
      </c>
    </row>
    <row r="10" customFormat="false" ht="23.85" hidden="false" customHeight="false" outlineLevel="0" collapsed="false">
      <c r="A10" s="13" t="n">
        <v>1804076</v>
      </c>
      <c r="B10" s="9" t="s">
        <v>137</v>
      </c>
      <c r="C10" s="9" t="s">
        <v>43</v>
      </c>
      <c r="D10" s="9" t="s">
        <v>138</v>
      </c>
      <c r="E10" s="9" t="s">
        <v>139</v>
      </c>
      <c r="F10" s="9" t="s">
        <v>113</v>
      </c>
      <c r="G10" s="9" t="s">
        <v>114</v>
      </c>
      <c r="H10" s="12" t="s">
        <v>140</v>
      </c>
    </row>
    <row r="11" customFormat="false" ht="23.85" hidden="false" customHeight="false" outlineLevel="0" collapsed="false">
      <c r="A11" s="13" t="n">
        <v>1695200</v>
      </c>
      <c r="B11" s="9" t="s">
        <v>141</v>
      </c>
      <c r="C11" s="9" t="s">
        <v>82</v>
      </c>
      <c r="D11" s="9" t="s">
        <v>142</v>
      </c>
      <c r="E11" s="9" t="s">
        <v>112</v>
      </c>
      <c r="F11" s="9" t="s">
        <v>123</v>
      </c>
      <c r="G11" s="9" t="s">
        <v>143</v>
      </c>
      <c r="H11" s="12" t="s">
        <v>144</v>
      </c>
    </row>
    <row r="12" customFormat="false" ht="23.85" hidden="false" customHeight="false" outlineLevel="0" collapsed="false">
      <c r="A12" s="13" t="n">
        <v>1496536</v>
      </c>
      <c r="B12" s="9" t="s">
        <v>145</v>
      </c>
      <c r="C12" s="9" t="s">
        <v>146</v>
      </c>
      <c r="D12" s="9" t="s">
        <v>147</v>
      </c>
      <c r="E12" s="9" t="s">
        <v>112</v>
      </c>
      <c r="F12" s="9" t="s">
        <v>113</v>
      </c>
      <c r="G12" s="9" t="s">
        <v>148</v>
      </c>
      <c r="H12" s="12" t="s">
        <v>149</v>
      </c>
    </row>
    <row r="13" customFormat="false" ht="23.85" hidden="false" customHeight="false" outlineLevel="0" collapsed="false">
      <c r="A13" s="13" t="n">
        <v>1375376</v>
      </c>
      <c r="B13" s="9" t="s">
        <v>150</v>
      </c>
      <c r="C13" s="9" t="s">
        <v>82</v>
      </c>
      <c r="D13" s="9" t="s">
        <v>151</v>
      </c>
      <c r="E13" s="9" t="s">
        <v>152</v>
      </c>
      <c r="F13" s="9" t="s">
        <v>113</v>
      </c>
      <c r="G13" s="9" t="s">
        <v>153</v>
      </c>
      <c r="H13" s="12" t="s">
        <v>154</v>
      </c>
    </row>
    <row r="14" customFormat="false" ht="23.85" hidden="false" customHeight="false" outlineLevel="0" collapsed="false">
      <c r="A14" s="13" t="n">
        <v>1089526</v>
      </c>
      <c r="B14" s="9" t="s">
        <v>155</v>
      </c>
      <c r="C14" s="9" t="s">
        <v>96</v>
      </c>
      <c r="D14" s="9" t="s">
        <v>156</v>
      </c>
      <c r="E14" s="9" t="s">
        <v>157</v>
      </c>
      <c r="F14" s="9" t="s">
        <v>113</v>
      </c>
      <c r="G14" s="9" t="s">
        <v>158</v>
      </c>
      <c r="H14" s="12" t="s">
        <v>159</v>
      </c>
    </row>
    <row r="15" customFormat="false" ht="23.85" hidden="false" customHeight="false" outlineLevel="0" collapsed="false">
      <c r="A15" s="13" t="n">
        <v>1034791</v>
      </c>
      <c r="B15" s="9" t="s">
        <v>160</v>
      </c>
      <c r="C15" s="9" t="s">
        <v>161</v>
      </c>
      <c r="D15" s="9" t="s">
        <v>162</v>
      </c>
      <c r="E15" s="9" t="s">
        <v>112</v>
      </c>
      <c r="F15" s="9" t="s">
        <v>123</v>
      </c>
      <c r="G15" s="9" t="s">
        <v>163</v>
      </c>
      <c r="H15" s="12" t="s">
        <v>164</v>
      </c>
    </row>
    <row r="17" customFormat="false" ht="15" hidden="false" customHeight="false" outlineLevel="0" collapsed="false">
      <c r="A17" s="6" t="s">
        <v>165</v>
      </c>
    </row>
    <row r="18" customFormat="false" ht="15" hidden="false" customHeight="false" outlineLevel="0" collapsed="false">
      <c r="A18" s="16" t="s">
        <v>166</v>
      </c>
    </row>
    <row r="19" customFormat="false" ht="15" hidden="false" customHeight="false" outlineLevel="0" collapsed="false">
      <c r="A19" s="16" t="s">
        <v>167</v>
      </c>
    </row>
    <row r="20" customFormat="false" ht="15" hidden="false" customHeight="false" outlineLevel="0" collapsed="false">
      <c r="A20" s="16" t="s">
        <v>168</v>
      </c>
    </row>
    <row r="21" customFormat="false" ht="15" hidden="false" customHeight="false" outlineLevel="0" collapsed="false">
      <c r="A21" s="16" t="s">
        <v>169</v>
      </c>
    </row>
    <row r="22" customFormat="false" ht="15" hidden="false" customHeight="false" outlineLevel="0" collapsed="false">
      <c r="A22" s="16" t="s">
        <v>170</v>
      </c>
    </row>
  </sheetData>
  <autoFilter ref="A4:H15"/>
  <hyperlinks>
    <hyperlink ref="H5" r:id="rId1" display="https://www.youtube.com/watch?v=QSmB7mLgyY8"/>
    <hyperlink ref="H6" r:id="rId2" display="https://www.youtube.com/watch?v=tWohYiEro7g"/>
    <hyperlink ref="H7" r:id="rId3" display="https://www.youtube.com/watch?v=kww6OQfePq8"/>
    <hyperlink ref="H8" r:id="rId4" display="https://www.youtube.com/watch?v=tHJL44ISLtI"/>
    <hyperlink ref="H9" r:id="rId5" display="https://www.youtube.com/watch?v=VyA7s3UgNl4"/>
    <hyperlink ref="H10" r:id="rId6" display="https://www.youtube.com/watch?v=IvqxNj7_YIk"/>
    <hyperlink ref="H11" r:id="rId7" display="https://www.youtube.com/watch?v=dx_V_f06ei4"/>
    <hyperlink ref="H12" r:id="rId8" display="https://www.youtube.com/watch?v=70UXK4nnhik"/>
    <hyperlink ref="H13" r:id="rId9" display="https://www.youtube.com/watch?v=pGsPu5JEAbQ"/>
    <hyperlink ref="H14" r:id="rId10" display="https://www.youtube.com/watch?v=zDKcDKWnZDc"/>
    <hyperlink ref="H15" r:id="rId11" display="https://www.youtube.com/watch?v=ikjZw3jjJhw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55"/>
    <col collapsed="false" customWidth="true" hidden="false" outlineLevel="0" max="8" min="8" style="0" width="20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30" hidden="false" customHeight="true" outlineLevel="0" collapsed="false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173</v>
      </c>
      <c r="I4" s="8" t="s">
        <v>174</v>
      </c>
    </row>
    <row r="5" customFormat="false" ht="35.05" hidden="false" customHeight="false" outlineLevel="0" collapsed="false">
      <c r="A5" s="9" t="s">
        <v>175</v>
      </c>
      <c r="B5" s="9" t="s">
        <v>176</v>
      </c>
      <c r="C5" s="9" t="s">
        <v>177</v>
      </c>
      <c r="D5" s="9" t="s">
        <v>178</v>
      </c>
      <c r="E5" s="10" t="n">
        <v>27</v>
      </c>
      <c r="F5" s="9" t="s">
        <v>179</v>
      </c>
      <c r="G5" s="9" t="s">
        <v>180</v>
      </c>
      <c r="H5" s="9" t="s">
        <v>181</v>
      </c>
      <c r="I5" s="12" t="s">
        <v>182</v>
      </c>
    </row>
    <row r="6" customFormat="false" ht="23.85" hidden="false" customHeight="false" outlineLevel="0" collapsed="false">
      <c r="A6" s="9" t="s">
        <v>183</v>
      </c>
      <c r="B6" s="9" t="s">
        <v>176</v>
      </c>
      <c r="C6" s="9" t="s">
        <v>177</v>
      </c>
      <c r="D6" s="9" t="s">
        <v>83</v>
      </c>
      <c r="E6" s="10" t="n">
        <v>10</v>
      </c>
      <c r="F6" s="9" t="s">
        <v>184</v>
      </c>
      <c r="G6" s="9" t="s">
        <v>185</v>
      </c>
      <c r="H6" s="9" t="s">
        <v>181</v>
      </c>
      <c r="I6" s="12" t="s">
        <v>182</v>
      </c>
    </row>
    <row r="7" customFormat="false" ht="23.85" hidden="false" customHeight="false" outlineLevel="0" collapsed="false">
      <c r="A7" s="9" t="s">
        <v>186</v>
      </c>
      <c r="B7" s="9" t="s">
        <v>187</v>
      </c>
      <c r="C7" s="9" t="s">
        <v>50</v>
      </c>
      <c r="D7" s="9" t="s">
        <v>51</v>
      </c>
      <c r="E7" s="10"/>
      <c r="F7" s="9"/>
      <c r="G7" s="9" t="s">
        <v>188</v>
      </c>
      <c r="H7" s="9" t="s">
        <v>189</v>
      </c>
      <c r="I7" s="12" t="s">
        <v>190</v>
      </c>
    </row>
    <row r="8" customFormat="false" ht="23.85" hidden="false" customHeight="false" outlineLevel="0" collapsed="false">
      <c r="A8" s="9" t="s">
        <v>191</v>
      </c>
      <c r="B8" s="9" t="s">
        <v>192</v>
      </c>
      <c r="C8" s="9" t="s">
        <v>50</v>
      </c>
      <c r="D8" s="9" t="s">
        <v>51</v>
      </c>
      <c r="E8" s="10"/>
      <c r="F8" s="9"/>
      <c r="G8" s="9" t="s">
        <v>193</v>
      </c>
      <c r="H8" s="9" t="s">
        <v>189</v>
      </c>
      <c r="I8" s="12" t="s">
        <v>194</v>
      </c>
    </row>
  </sheetData>
  <hyperlinks>
    <hyperlink ref="I5" r:id="rId1" display="https://leidycake.com.br/bolodepote"/>
    <hyperlink ref="I6" r:id="rId2" display="https://leidycake.com.br/bolodepote"/>
    <hyperlink ref="I7" r:id="rId3" display="https://hotmart.com/pt-br/marketplace/produtos/curso-bolos-no-pote-com-marrara-bortoloti/M54680868M"/>
    <hyperlink ref="I8" r:id="rId4" display="https://hotmart.com/pt-br/marketplace/produtos/curso-faca-e-venda-bolo-de-pote/Q42757297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2026-09-24T22:58:41Z</dcterms:created>
  <dc:creator>openpyxl</dc:creator>
  <dc:description/>
  <dc:language>pt-BR</dc:language>
  <cp:lastModifiedBy/>
  <dcterms:modified xsi:type="dcterms:W3CDTF">2026-09-24T22:58:41Z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